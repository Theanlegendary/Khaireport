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r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7">
    <font>
      <name val="Calibri"/>
      <family val="2"/>
      <color theme="1"/>
      <sz val="11"/>
      <scheme val="minor"/>
    </font>
    <font>
      <name val="SF Pro Text"/>
      <b val="1"/>
      <color rgb="001F4E78"/>
      <sz val="16"/>
    </font>
    <font>
      <name val="SF Pro Text"/>
      <i val="1"/>
      <sz val="10"/>
    </font>
    <font>
      <name val="SF Pro Text"/>
      <b val="1"/>
      <color rgb="002F5597"/>
      <sz val="12"/>
    </font>
    <font>
      <name val="SF Pro Text"/>
      <b val="1"/>
      <color rgb="00FFFFFF"/>
      <sz val="10"/>
    </font>
    <font>
      <name val="SF Pro Text"/>
      <sz val="10"/>
    </font>
    <font>
      <name val="SF Pro Text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25" customWidth="1" min="5" max="5"/>
  </cols>
  <sheetData>
    <row r="1">
      <c r="A1" s="1" t="inlineStr">
        <is>
          <t>ZONE-WISE CLEARANCE REPORT (9:00 AM vs 2:00 PM)</t>
        </is>
      </c>
    </row>
    <row r="2">
      <c r="A2" s="2" t="inlineStr">
        <is>
          <t>Report Date: July 13th, 2026</t>
        </is>
      </c>
    </row>
    <row r="3"/>
    <row r="4">
      <c r="A4" s="3" t="inlineStr">
        <is>
          <t>📍 PICKUP CLEARANCE TABLE</t>
        </is>
      </c>
    </row>
    <row r="5">
      <c r="A5" s="4" t="inlineStr">
        <is>
          <t>Zone</t>
        </is>
      </c>
      <c r="B5" s="4" t="inlineStr">
        <is>
          <t>9:00 AM</t>
        </is>
      </c>
      <c r="C5" s="4" t="inlineStr">
        <is>
          <t>2:00 PM</t>
        </is>
      </c>
      <c r="D5" s="4" t="inlineStr">
        <is>
          <t>Bills Cleared</t>
        </is>
      </c>
      <c r="E5" s="4" t="inlineStr">
        <is>
          <t>% Cleared</t>
        </is>
      </c>
    </row>
    <row r="6">
      <c r="A6" s="5" t="inlineStr">
        <is>
          <t>Zone 1</t>
        </is>
      </c>
      <c r="B6" s="6" t="n">
        <v>12</v>
      </c>
      <c r="C6" s="6" t="n">
        <v>47</v>
      </c>
      <c r="D6" s="7">
        <f>B6-C6</f>
        <v/>
      </c>
      <c r="E6" s="8">
        <f>IF(B6&gt;0, D6/B6, 0)</f>
        <v/>
      </c>
    </row>
    <row r="7">
      <c r="A7" s="5" t="inlineStr">
        <is>
          <t>Zone 2</t>
        </is>
      </c>
      <c r="B7" s="6" t="n">
        <v>14</v>
      </c>
      <c r="C7" s="6" t="n">
        <v>36</v>
      </c>
      <c r="D7" s="7">
        <f>B7-C7</f>
        <v/>
      </c>
      <c r="E7" s="8">
        <f>IF(B7&gt;0, D7/B7, 0)</f>
        <v/>
      </c>
    </row>
    <row r="8">
      <c r="A8" s="5" t="inlineStr">
        <is>
          <t>Zone 3</t>
        </is>
      </c>
      <c r="B8" s="6" t="n">
        <v>11</v>
      </c>
      <c r="C8" s="6" t="n">
        <v>43</v>
      </c>
      <c r="D8" s="7">
        <f>B8-C8</f>
        <v/>
      </c>
      <c r="E8" s="8">
        <f>IF(B8&gt;0, D8/B8, 0)</f>
        <v/>
      </c>
    </row>
    <row r="9">
      <c r="A9" s="5" t="inlineStr">
        <is>
          <t>Zone 4</t>
        </is>
      </c>
      <c r="B9" s="6" t="n">
        <v>0</v>
      </c>
      <c r="C9" s="6" t="n">
        <v>11</v>
      </c>
      <c r="D9" s="7">
        <f>B9-C9</f>
        <v/>
      </c>
      <c r="E9" s="8">
        <f>IF(B9&gt;0, D9/B9, 0)</f>
        <v/>
      </c>
    </row>
    <row r="10">
      <c r="A10" s="5" t="inlineStr">
        <is>
          <t>Zone 5</t>
        </is>
      </c>
      <c r="B10" s="6" t="n">
        <v>12</v>
      </c>
      <c r="C10" s="6" t="n">
        <v>17</v>
      </c>
      <c r="D10" s="7">
        <f>B10-C10</f>
        <v/>
      </c>
      <c r="E10" s="8">
        <f>IF(B10&gt;0, D10/B10, 0)</f>
        <v/>
      </c>
    </row>
    <row r="11">
      <c r="A11" s="9" t="inlineStr">
        <is>
          <t>TOTAL ALL ZONE</t>
        </is>
      </c>
      <c r="B11" s="10">
        <f>SUM(B6:B10)</f>
        <v/>
      </c>
      <c r="C11" s="10">
        <f>SUM(C6:C10)</f>
        <v/>
      </c>
      <c r="D11" s="11">
        <f>B11-C11</f>
        <v/>
      </c>
      <c r="E11" s="12">
        <f>IF(B11&gt;0, D11/B11, 0)</f>
        <v/>
      </c>
    </row>
    <row r="12"/>
    <row r="13"/>
    <row r="14">
      <c r="A14" s="3" t="inlineStr">
        <is>
          <t>📍 DELIVERY CLEARANCE TABLE</t>
        </is>
      </c>
    </row>
    <row r="15">
      <c r="A15" s="4" t="inlineStr">
        <is>
          <t>Zone</t>
        </is>
      </c>
      <c r="B15" s="4" t="inlineStr">
        <is>
          <t>9:00 AM</t>
        </is>
      </c>
      <c r="C15" s="4" t="inlineStr">
        <is>
          <t>2:00 PM</t>
        </is>
      </c>
      <c r="D15" s="4" t="inlineStr">
        <is>
          <t>Bills Cleared</t>
        </is>
      </c>
      <c r="E15" s="4" t="inlineStr">
        <is>
          <t>% Cleared</t>
        </is>
      </c>
    </row>
    <row r="16">
      <c r="A16" s="5" t="inlineStr">
        <is>
          <t>Zone 1</t>
        </is>
      </c>
      <c r="B16" s="6" t="n">
        <v>68</v>
      </c>
      <c r="C16" s="6" t="n">
        <v>140</v>
      </c>
      <c r="D16" s="7">
        <f>B16-C16</f>
        <v/>
      </c>
      <c r="E16" s="8">
        <f>IF(B16&gt;0, D16/B16, 0)</f>
        <v/>
      </c>
    </row>
    <row r="17">
      <c r="A17" s="5" t="inlineStr">
        <is>
          <t>Zone 2</t>
        </is>
      </c>
      <c r="B17" s="6" t="n">
        <v>34</v>
      </c>
      <c r="C17" s="6" t="n">
        <v>63</v>
      </c>
      <c r="D17" s="7">
        <f>B17-C17</f>
        <v/>
      </c>
      <c r="E17" s="8">
        <f>IF(B17&gt;0, D17/B17, 0)</f>
        <v/>
      </c>
    </row>
    <row r="18">
      <c r="A18" s="5" t="inlineStr">
        <is>
          <t>Zone 3</t>
        </is>
      </c>
      <c r="B18" s="6" t="n">
        <v>24</v>
      </c>
      <c r="C18" s="6" t="n">
        <v>32</v>
      </c>
      <c r="D18" s="7">
        <f>B18-C18</f>
        <v/>
      </c>
      <c r="E18" s="8">
        <f>IF(B18&gt;0, D18/B18, 0)</f>
        <v/>
      </c>
    </row>
    <row r="19">
      <c r="A19" s="5" t="inlineStr">
        <is>
          <t>Zone 4</t>
        </is>
      </c>
      <c r="B19" s="6" t="n">
        <v>16</v>
      </c>
      <c r="C19" s="6" t="n">
        <v>15</v>
      </c>
      <c r="D19" s="13">
        <f>B19-C19</f>
        <v/>
      </c>
      <c r="E19" s="14">
        <f>IF(B19&gt;0, D19/B19, 0)</f>
        <v/>
      </c>
    </row>
    <row r="20">
      <c r="A20" s="5" t="inlineStr">
        <is>
          <t>Zone 5</t>
        </is>
      </c>
      <c r="B20" s="6" t="n">
        <v>7</v>
      </c>
      <c r="C20" s="6" t="n">
        <v>42</v>
      </c>
      <c r="D20" s="7">
        <f>B20-C20</f>
        <v/>
      </c>
      <c r="E20" s="8">
        <f>IF(B20&gt;0, D20/B20, 0)</f>
        <v/>
      </c>
    </row>
    <row r="21">
      <c r="A21" s="9" t="inlineStr">
        <is>
          <t>TOTAL ALL ZONE</t>
        </is>
      </c>
      <c r="B21" s="10">
        <f>SUM(B16:B20)</f>
        <v/>
      </c>
      <c r="C21" s="10">
        <f>SUM(C16:C20)</f>
        <v/>
      </c>
      <c r="D21" s="11">
        <f>B21-C21</f>
        <v/>
      </c>
      <c r="E21" s="12">
        <f>IF(B21&gt;0, D21/B21, 0)</f>
        <v/>
      </c>
    </row>
    <row r="22"/>
    <row r="23"/>
    <row r="24">
      <c r="A24" s="3" t="inlineStr">
        <is>
          <t>📍 PENDING CLEARANCE TABLE</t>
        </is>
      </c>
    </row>
    <row r="25">
      <c r="A25" s="4" t="inlineStr">
        <is>
          <t>Zone</t>
        </is>
      </c>
      <c r="B25" s="4" t="inlineStr">
        <is>
          <t>9:00 AM</t>
        </is>
      </c>
      <c r="C25" s="4" t="inlineStr">
        <is>
          <t>2:00 PM</t>
        </is>
      </c>
      <c r="D25" s="4" t="inlineStr">
        <is>
          <t>Bills Cleared</t>
        </is>
      </c>
      <c r="E25" s="4" t="inlineStr">
        <is>
          <t>% Cleared</t>
        </is>
      </c>
    </row>
    <row r="26">
      <c r="A26" s="5" t="inlineStr">
        <is>
          <t>Zone 1</t>
        </is>
      </c>
      <c r="B26" s="6" t="n">
        <v>178</v>
      </c>
      <c r="C26" s="6" t="n">
        <v>431</v>
      </c>
      <c r="D26" s="7">
        <f>B26-C26</f>
        <v/>
      </c>
      <c r="E26" s="8">
        <f>IF(B26&gt;0, D26/B26, 0)</f>
        <v/>
      </c>
    </row>
    <row r="27">
      <c r="A27" s="5" t="inlineStr">
        <is>
          <t>Zone 2</t>
        </is>
      </c>
      <c r="B27" s="6" t="n">
        <v>161</v>
      </c>
      <c r="C27" s="6" t="n">
        <v>286</v>
      </c>
      <c r="D27" s="7">
        <f>B27-C27</f>
        <v/>
      </c>
      <c r="E27" s="8">
        <f>IF(B27&gt;0, D27/B27, 0)</f>
        <v/>
      </c>
    </row>
    <row r="28">
      <c r="A28" s="5" t="inlineStr">
        <is>
          <t>Zone 3</t>
        </is>
      </c>
      <c r="B28" s="6" t="n">
        <v>271</v>
      </c>
      <c r="C28" s="6" t="n">
        <v>142</v>
      </c>
      <c r="D28" s="13">
        <f>B28-C28</f>
        <v/>
      </c>
      <c r="E28" s="14">
        <f>IF(B28&gt;0, D28/B28, 0)</f>
        <v/>
      </c>
    </row>
    <row r="29">
      <c r="A29" s="5" t="inlineStr">
        <is>
          <t>Zone 4</t>
        </is>
      </c>
      <c r="B29" s="6" t="n">
        <v>81</v>
      </c>
      <c r="C29" s="6" t="n">
        <v>152</v>
      </c>
      <c r="D29" s="7">
        <f>B29-C29</f>
        <v/>
      </c>
      <c r="E29" s="8">
        <f>IF(B29&gt;0, D29/B29, 0)</f>
        <v/>
      </c>
    </row>
    <row r="30">
      <c r="A30" s="5" t="inlineStr">
        <is>
          <t>Zone 5</t>
        </is>
      </c>
      <c r="B30" s="6" t="n">
        <v>57</v>
      </c>
      <c r="C30" s="6" t="n">
        <v>159</v>
      </c>
      <c r="D30" s="7">
        <f>B30-C30</f>
        <v/>
      </c>
      <c r="E30" s="8">
        <f>IF(B30&gt;0, D30/B30, 0)</f>
        <v/>
      </c>
    </row>
    <row r="31">
      <c r="A31" s="9" t="inlineStr">
        <is>
          <t>TOTAL ALL ZONE</t>
        </is>
      </c>
      <c r="B31" s="10">
        <f>SUM(B26:B30)</f>
        <v/>
      </c>
      <c r="C31" s="10">
        <f>SUM(C26:C30)</f>
        <v/>
      </c>
      <c r="D31" s="11">
        <f>B31-C31</f>
        <v/>
      </c>
      <c r="E31" s="12">
        <f>IF(B31&gt;0, D31/B31, 0)</f>
        <v/>
      </c>
    </row>
    <row r="32"/>
    <row r="33"/>
    <row r="34">
      <c r="A34" s="3" t="inlineStr">
        <is>
          <t>📍 GRAND TOTAL CLEARANCE TABLE</t>
        </is>
      </c>
    </row>
    <row r="35">
      <c r="A35" s="4" t="inlineStr">
        <is>
          <t>Zone</t>
        </is>
      </c>
      <c r="B35" s="4" t="inlineStr">
        <is>
          <t>9:00 AM</t>
        </is>
      </c>
      <c r="C35" s="4" t="inlineStr">
        <is>
          <t>2:00 PM</t>
        </is>
      </c>
      <c r="D35" s="4" t="inlineStr">
        <is>
          <t>Bills Cleared</t>
        </is>
      </c>
      <c r="E35" s="4" t="inlineStr">
        <is>
          <t>% Cleared</t>
        </is>
      </c>
    </row>
    <row r="36">
      <c r="A36" s="5" t="inlineStr">
        <is>
          <t>Zone 1</t>
        </is>
      </c>
      <c r="B36" s="6" t="n">
        <v>258</v>
      </c>
      <c r="C36" s="6" t="n">
        <v>618</v>
      </c>
      <c r="D36" s="7">
        <f>B36-C36</f>
        <v/>
      </c>
      <c r="E36" s="8">
        <f>IF(B36&gt;0, D36/B36, 0)</f>
        <v/>
      </c>
    </row>
    <row r="37">
      <c r="A37" s="5" t="inlineStr">
        <is>
          <t>Zone 2</t>
        </is>
      </c>
      <c r="B37" s="6" t="n">
        <v>209</v>
      </c>
      <c r="C37" s="6" t="n">
        <v>385</v>
      </c>
      <c r="D37" s="7">
        <f>B37-C37</f>
        <v/>
      </c>
      <c r="E37" s="8">
        <f>IF(B37&gt;0, D37/B37, 0)</f>
        <v/>
      </c>
    </row>
    <row r="38">
      <c r="A38" s="5" t="inlineStr">
        <is>
          <t>Zone 3</t>
        </is>
      </c>
      <c r="B38" s="6" t="n">
        <v>306</v>
      </c>
      <c r="C38" s="6" t="n">
        <v>217</v>
      </c>
      <c r="D38" s="13">
        <f>B38-C38</f>
        <v/>
      </c>
      <c r="E38" s="14">
        <f>IF(B38&gt;0, D38/B38, 0)</f>
        <v/>
      </c>
    </row>
    <row r="39">
      <c r="A39" s="5" t="inlineStr">
        <is>
          <t>Zone 4</t>
        </is>
      </c>
      <c r="B39" s="6" t="n">
        <v>97</v>
      </c>
      <c r="C39" s="6" t="n">
        <v>178</v>
      </c>
      <c r="D39" s="7">
        <f>B39-C39</f>
        <v/>
      </c>
      <c r="E39" s="8">
        <f>IF(B39&gt;0, D39/B39, 0)</f>
        <v/>
      </c>
    </row>
    <row r="40">
      <c r="A40" s="5" t="inlineStr">
        <is>
          <t>Zone 5</t>
        </is>
      </c>
      <c r="B40" s="6" t="n">
        <v>76</v>
      </c>
      <c r="C40" s="6" t="n">
        <v>218</v>
      </c>
      <c r="D40" s="7">
        <f>B40-C40</f>
        <v/>
      </c>
      <c r="E40" s="8">
        <f>IF(B40&gt;0, D40/B40, 0)</f>
        <v/>
      </c>
    </row>
    <row r="41">
      <c r="A41" s="9" t="inlineStr">
        <is>
          <t>TOTAL ALL ZONE</t>
        </is>
      </c>
      <c r="B41" s="10">
        <f>SUM(B36:B40)</f>
        <v/>
      </c>
      <c r="C41" s="10">
        <f>SUM(C36:C40)</f>
        <v/>
      </c>
      <c r="D41" s="15">
        <f>B41-C41</f>
        <v/>
      </c>
      <c r="E41" s="16">
        <f>IF(B41&gt;0, D41/B41,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2026-07-13T08:38:16Z</dcterms:created>
  <dcterms:modified xsi:type="dcterms:W3CDTF">2026-07-13T08:38:16Z</dcterms:modified>
</cp:coreProperties>
</file>